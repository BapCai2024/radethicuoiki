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ẢI TRẦN\NĂM HỌC ALL\2025-2026\ĐỀ TIN 3,4,5 HK 1 2025-2026\"/>
    </mc:Choice>
  </mc:AlternateContent>
  <bookViews>
    <workbookView xWindow="-105" yWindow="-105" windowWidth="23250" windowHeight="12450" activeTab="1"/>
  </bookViews>
  <sheets>
    <sheet name="ma trận" sheetId="1" r:id="rId1"/>
    <sheet name="đặc tả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2" l="1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K19" i="1" l="1"/>
  <c r="U18" i="1"/>
  <c r="U19" i="1" s="1"/>
  <c r="T18" i="1"/>
  <c r="T19" i="1" s="1"/>
  <c r="S18" i="1"/>
  <c r="S19" i="1" s="1"/>
  <c r="R18" i="1"/>
  <c r="R19" i="1" s="1"/>
  <c r="Q18" i="1"/>
  <c r="Q19" i="1" s="1"/>
  <c r="P18" i="1"/>
  <c r="O18" i="1"/>
  <c r="O19" i="1" s="1"/>
  <c r="N18" i="1"/>
  <c r="M18" i="1"/>
  <c r="L18" i="1"/>
  <c r="L19" i="1" s="1"/>
  <c r="K18" i="1"/>
  <c r="J18" i="1"/>
  <c r="J19" i="1" s="1"/>
  <c r="I18" i="1"/>
  <c r="I19" i="1" s="1"/>
  <c r="H18" i="1"/>
  <c r="H19" i="1" s="1"/>
  <c r="G18" i="1"/>
  <c r="D18" i="1"/>
  <c r="W17" i="1"/>
  <c r="V17" i="1"/>
  <c r="E17" i="1"/>
  <c r="F17" i="1" s="1"/>
  <c r="W16" i="1"/>
  <c r="V16" i="1"/>
  <c r="E16" i="1"/>
  <c r="F16" i="1" s="1"/>
  <c r="W15" i="1"/>
  <c r="V15" i="1"/>
  <c r="E15" i="1"/>
  <c r="F15" i="1" s="1"/>
  <c r="W14" i="1"/>
  <c r="V14" i="1"/>
  <c r="E14" i="1"/>
  <c r="F14" i="1" s="1"/>
  <c r="W13" i="1"/>
  <c r="V13" i="1"/>
  <c r="E13" i="1"/>
  <c r="F13" i="1" s="1"/>
  <c r="W12" i="1"/>
  <c r="V12" i="1"/>
  <c r="E12" i="1"/>
  <c r="F12" i="1" s="1"/>
  <c r="W11" i="1"/>
  <c r="V11" i="1"/>
  <c r="E11" i="1"/>
  <c r="F11" i="1" s="1"/>
  <c r="W10" i="1"/>
  <c r="V10" i="1"/>
  <c r="E10" i="1"/>
  <c r="F10" i="1" s="1"/>
  <c r="W9" i="1"/>
  <c r="V9" i="1"/>
  <c r="E9" i="1"/>
  <c r="F9" i="1" s="1"/>
  <c r="W8" i="1"/>
  <c r="V8" i="1"/>
  <c r="E8" i="1"/>
  <c r="W7" i="1"/>
  <c r="V7" i="1"/>
  <c r="E7" i="1"/>
  <c r="F7" i="1" s="1"/>
  <c r="V18" i="1" l="1"/>
  <c r="M20" i="1"/>
  <c r="E18" i="1"/>
  <c r="P20" i="1"/>
  <c r="O24" i="1"/>
  <c r="W18" i="1"/>
  <c r="N23" i="1"/>
  <c r="G20" i="1"/>
  <c r="F8" i="1"/>
  <c r="F18" i="1" s="1"/>
  <c r="M19" i="1"/>
  <c r="M23" i="1"/>
  <c r="N19" i="1"/>
  <c r="N24" i="1" s="1"/>
  <c r="G19" i="1"/>
  <c r="O23" i="1"/>
  <c r="P19" i="1"/>
  <c r="J20" i="1"/>
  <c r="S20" i="1"/>
  <c r="V20" i="1" l="1"/>
  <c r="V19" i="1"/>
  <c r="M24" i="1"/>
</calcChain>
</file>

<file path=xl/sharedStrings.xml><?xml version="1.0" encoding="utf-8"?>
<sst xmlns="http://schemas.openxmlformats.org/spreadsheetml/2006/main" count="104" uniqueCount="48">
  <si>
    <t>MA TRẬN ĐỀ KIỂM TRA CUỐI HỌC KÌ I MÔN TIN 3</t>
  </si>
  <si>
    <t>TT</t>
  </si>
  <si>
    <t xml:space="preserve">Chương/Chủ đề </t>
  </si>
  <si>
    <t>Nội dung/đơn vị kiến thức</t>
  </si>
  <si>
    <t>Số tiết</t>
  </si>
  <si>
    <t>Tỉ lệ</t>
  </si>
  <si>
    <t>Số điểm cần đạt</t>
  </si>
  <si>
    <t>Trắc nghiệm</t>
  </si>
  <si>
    <t>Tự luận</t>
  </si>
  <si>
    <t>Tổng số câu/ý</t>
  </si>
  <si>
    <t>Điểm từng bài</t>
  </si>
  <si>
    <t>Nhiều lựa chọn</t>
  </si>
  <si>
    <t>Đúng-Sai</t>
  </si>
  <si>
    <t>Nối cột</t>
  </si>
  <si>
    <t>Điền khuyết</t>
  </si>
  <si>
    <t>Biết</t>
  </si>
  <si>
    <t>Hiểu</t>
  </si>
  <si>
    <t>VD</t>
  </si>
  <si>
    <t>Chủ đề A1: Thông tin và xử lý thông tin</t>
  </si>
  <si>
    <t>Bài 1: Thông tin và quyết định</t>
  </si>
  <si>
    <t>Bài 2:Xử lí thông tin</t>
  </si>
  <si>
    <t>Bài 3: Máy xử lí thông tin</t>
  </si>
  <si>
    <t>Bài 4: Làm quen với  máy tính</t>
  </si>
  <si>
    <t>Chủ đề A2: Khám phá máy tính</t>
  </si>
  <si>
    <t>Bài 5: Bắt đầu làm việc với máy tính</t>
  </si>
  <si>
    <t>Bài 6: Tư thế ngồi làm việc với máy tính</t>
  </si>
  <si>
    <t>Bài 7:  An toàn khi làm việc với máy tính</t>
  </si>
  <si>
    <t>Bài 8: Thao tác với bàn phím máy tính</t>
  </si>
  <si>
    <t>Chủ đề B: Mạng máy tính và Internet</t>
  </si>
  <si>
    <t>Bài 9: Xem tin tức và chương trình giải trí trên Internet</t>
  </si>
  <si>
    <t>Chủ đề C1: Sắp xếp để dễ tìm</t>
  </si>
  <si>
    <t>Bài 10: Sắp xếp và tìm kiếm</t>
  </si>
  <si>
    <t>Bài 11: Sơ đồ hình cây</t>
  </si>
  <si>
    <t>Tổng số câu</t>
  </si>
  <si>
    <t>Điểm từng mức độ</t>
  </si>
  <si>
    <t>Điểm 1 câu nhiều lựa chọn</t>
  </si>
  <si>
    <t>Điểm 1 câu đúng sai</t>
  </si>
  <si>
    <t>Điểm 1 câu nối cột</t>
  </si>
  <si>
    <t>Điểm 1 câu điền khuyết</t>
  </si>
  <si>
    <t>Điểm 1 câu tự luận</t>
  </si>
  <si>
    <t>Mức độ đánh giá</t>
  </si>
  <si>
    <t>Số câu/ý</t>
  </si>
  <si>
    <t>Điểm từng phần</t>
  </si>
  <si>
    <t xml:space="preserve">  + Mức độ đề: 50% Nhận biết; 40% Thông hiểu; 10% Vận dụng;  
 </t>
  </si>
  <si>
    <t>BẢNG ĐẶC TẢ</t>
  </si>
  <si>
    <t>Yêu cầu cần đạt</t>
  </si>
  <si>
    <t xml:space="preserve">Điểm </t>
  </si>
  <si>
    <t>Tỉ lệ%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</si>
</sst>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rgb="FF000000"/>
      </right>
      <top/>
      <bottom style="thin">
        <color rgb="FF000000"/>
      </bottom>
      <diagonal/>
    </border>
    <border>
      <left style="thin">
        <color rgb="FFFF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3" fillId="0" borderId="0" xfId="0" applyFont="1" applyAlignment="1">
      <alignment horizontal="left" wrapText="1"/>
    </xf>
    <xf numFmtId="0" fontId="2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2" fontId="6" fillId="4" borderId="10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1" fontId="1" fillId="4" borderId="10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/>
    <xf numFmtId="0" fontId="2" fillId="4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/>
    <xf numFmtId="0" fontId="2" fillId="0" borderId="10" xfId="0" applyFont="1" applyBorder="1" applyAlignment="1">
      <alignment horizontal="center" vertical="center" wrapText="1"/>
    </xf>
    <xf numFmtId="0" fontId="9" fillId="0" borderId="12" xfId="0" applyFont="1" applyBorder="1"/>
    <xf numFmtId="0" fontId="9" fillId="0" borderId="15" xfId="0" applyFont="1" applyBorder="1"/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5" xfId="0" applyFont="1" applyBorder="1"/>
    <xf numFmtId="0" fontId="8" fillId="0" borderId="4" xfId="0" applyFont="1" applyBorder="1" applyAlignment="1">
      <alignment horizontal="center" vertical="center" wrapText="1"/>
    </xf>
    <xf numFmtId="0" fontId="4" fillId="0" borderId="12" xfId="0" applyFont="1" applyBorder="1"/>
    <xf numFmtId="0" fontId="5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6" xfId="0" applyFont="1" applyBorder="1"/>
    <xf numFmtId="0" fontId="2" fillId="0" borderId="18" xfId="0" applyFont="1" applyBorder="1" applyAlignment="1">
      <alignment horizontal="center" vertical="center" wrapText="1"/>
    </xf>
    <xf numFmtId="0" fontId="4" fillId="0" borderId="0" xfId="0" applyFont="1"/>
    <xf numFmtId="0" fontId="4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005"/>
  <sheetViews>
    <sheetView topLeftCell="A10" zoomScaleNormal="100" workbookViewId="0">
      <selection activeCell="G19" sqref="G19:V19"/>
    </sheetView>
  </sheetViews>
  <sheetFormatPr defaultColWidth="14.28515625" defaultRowHeight="15.75" x14ac:dyDescent="0.25"/>
  <cols>
    <col min="1" max="1" width="5.7109375" style="1" customWidth="1"/>
    <col min="2" max="2" width="18.140625" style="1" customWidth="1"/>
    <col min="3" max="3" width="30" style="1" customWidth="1"/>
    <col min="4" max="5" width="6.42578125" style="1" customWidth="1"/>
    <col min="6" max="6" width="10.140625" style="1" customWidth="1"/>
    <col min="7" max="21" width="5.7109375" style="1" customWidth="1"/>
    <col min="22" max="22" width="6.42578125" style="1" customWidth="1"/>
    <col min="23" max="23" width="7" style="1" customWidth="1"/>
    <col min="24" max="26" width="9.85546875" style="1" customWidth="1"/>
    <col min="27" max="16384" width="14.28515625" style="1"/>
  </cols>
  <sheetData>
    <row r="2" spans="1:23" ht="26.25" customHeight="1" x14ac:dyDescent="0.25">
      <c r="C2" s="61" t="s"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2"/>
    </row>
    <row r="3" spans="1:23" ht="60" customHeight="1" x14ac:dyDescent="0.25">
      <c r="B3" s="63" t="s">
        <v>43</v>
      </c>
      <c r="C3" s="63"/>
      <c r="D3" s="63"/>
      <c r="E3" s="6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"/>
      <c r="W3" s="5"/>
    </row>
    <row r="4" spans="1:23" ht="15.6" customHeight="1" x14ac:dyDescent="0.25">
      <c r="A4" s="64" t="s">
        <v>1</v>
      </c>
      <c r="B4" s="67" t="s">
        <v>2</v>
      </c>
      <c r="C4" s="67" t="s">
        <v>3</v>
      </c>
      <c r="D4" s="67" t="s">
        <v>4</v>
      </c>
      <c r="E4" s="67" t="s">
        <v>5</v>
      </c>
      <c r="F4" s="68" t="s">
        <v>6</v>
      </c>
      <c r="G4" s="48" t="s">
        <v>7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 t="s">
        <v>8</v>
      </c>
      <c r="T4" s="48"/>
      <c r="U4" s="48"/>
      <c r="V4" s="70" t="s">
        <v>9</v>
      </c>
      <c r="W4" s="48" t="s">
        <v>10</v>
      </c>
    </row>
    <row r="5" spans="1:23" ht="19.5" customHeight="1" x14ac:dyDescent="0.25">
      <c r="A5" s="65"/>
      <c r="B5" s="65"/>
      <c r="C5" s="65"/>
      <c r="D5" s="65"/>
      <c r="E5" s="65"/>
      <c r="F5" s="69"/>
      <c r="G5" s="58" t="s">
        <v>11</v>
      </c>
      <c r="H5" s="44"/>
      <c r="I5" s="44"/>
      <c r="J5" s="59" t="s">
        <v>12</v>
      </c>
      <c r="K5" s="60"/>
      <c r="L5" s="60"/>
      <c r="M5" s="48" t="s">
        <v>13</v>
      </c>
      <c r="N5" s="48"/>
      <c r="O5" s="48"/>
      <c r="P5" s="59" t="s">
        <v>14</v>
      </c>
      <c r="Q5" s="60"/>
      <c r="R5" s="60"/>
      <c r="S5" s="48"/>
      <c r="T5" s="48"/>
      <c r="U5" s="48"/>
      <c r="V5" s="71"/>
      <c r="W5" s="44"/>
    </row>
    <row r="6" spans="1:23" ht="21" customHeight="1" x14ac:dyDescent="0.25">
      <c r="A6" s="66"/>
      <c r="B6" s="65"/>
      <c r="C6" s="66"/>
      <c r="D6" s="65"/>
      <c r="E6" s="66"/>
      <c r="F6" s="65"/>
      <c r="G6" s="7" t="s">
        <v>15</v>
      </c>
      <c r="H6" s="8" t="s">
        <v>16</v>
      </c>
      <c r="I6" s="8" t="s">
        <v>17</v>
      </c>
      <c r="J6" s="9" t="s">
        <v>15</v>
      </c>
      <c r="K6" s="10" t="s">
        <v>16</v>
      </c>
      <c r="L6" s="10" t="s">
        <v>17</v>
      </c>
      <c r="M6" s="11" t="s">
        <v>15</v>
      </c>
      <c r="N6" s="8" t="s">
        <v>16</v>
      </c>
      <c r="O6" s="8" t="s">
        <v>17</v>
      </c>
      <c r="P6" s="12" t="s">
        <v>15</v>
      </c>
      <c r="Q6" s="13" t="s">
        <v>16</v>
      </c>
      <c r="R6" s="13" t="s">
        <v>17</v>
      </c>
      <c r="S6" s="11" t="s">
        <v>15</v>
      </c>
      <c r="T6" s="8" t="s">
        <v>16</v>
      </c>
      <c r="U6" s="8" t="s">
        <v>17</v>
      </c>
      <c r="V6" s="72"/>
      <c r="W6" s="44"/>
    </row>
    <row r="7" spans="1:23" ht="41.25" customHeight="1" x14ac:dyDescent="0.25">
      <c r="A7" s="14">
        <v>1</v>
      </c>
      <c r="B7" s="38" t="s">
        <v>18</v>
      </c>
      <c r="C7" s="15" t="s">
        <v>19</v>
      </c>
      <c r="D7" s="16">
        <v>1</v>
      </c>
      <c r="E7" s="17">
        <f t="shared" ref="E7:E14" si="0">D7*100/SUM($D$7:$D$14)</f>
        <v>8.3333333333333339</v>
      </c>
      <c r="F7" s="18">
        <f>E7*2.5/100</f>
        <v>0.20833333333333337</v>
      </c>
      <c r="G7" s="19">
        <v>2</v>
      </c>
      <c r="H7" s="20"/>
      <c r="I7" s="20"/>
      <c r="J7" s="21"/>
      <c r="K7" s="22"/>
      <c r="L7" s="22"/>
      <c r="M7" s="23"/>
      <c r="N7" s="23"/>
      <c r="O7" s="23"/>
      <c r="P7" s="21"/>
      <c r="Q7" s="22"/>
      <c r="R7" s="22"/>
      <c r="S7" s="24"/>
      <c r="T7" s="20"/>
      <c r="U7" s="20"/>
      <c r="V7" s="33">
        <f>SUM(G7:U7)</f>
        <v>2</v>
      </c>
      <c r="W7" s="34">
        <f t="shared" ref="W7:W17" si="1">SUM(G7:I7)*$D$22+SUM(J7:L7)*$D$23+SUM(M7:O7)*$D$24+SUM(P7:R7)*$D$25+SUM(S7:U7)*$D$26</f>
        <v>1</v>
      </c>
    </row>
    <row r="8" spans="1:23" ht="41.25" customHeight="1" x14ac:dyDescent="0.25">
      <c r="A8" s="14">
        <v>2</v>
      </c>
      <c r="B8" s="39"/>
      <c r="C8" s="15" t="s">
        <v>20</v>
      </c>
      <c r="D8" s="16">
        <v>1</v>
      </c>
      <c r="E8" s="17">
        <f t="shared" si="0"/>
        <v>8.3333333333333339</v>
      </c>
      <c r="F8" s="18">
        <f t="shared" ref="F8:F14" si="2">E8*2.5/100</f>
        <v>0.20833333333333337</v>
      </c>
      <c r="G8" s="19">
        <v>1</v>
      </c>
      <c r="H8" s="20"/>
      <c r="I8" s="20"/>
      <c r="J8" s="21"/>
      <c r="K8" s="22"/>
      <c r="L8" s="22"/>
      <c r="M8" s="23"/>
      <c r="N8" s="23"/>
      <c r="O8" s="23"/>
      <c r="P8" s="21"/>
      <c r="Q8" s="22"/>
      <c r="R8" s="22"/>
      <c r="S8" s="24"/>
      <c r="T8" s="20"/>
      <c r="U8" s="20"/>
      <c r="V8" s="33">
        <f t="shared" ref="V8:V17" si="3">SUM(G8:U8)</f>
        <v>1</v>
      </c>
      <c r="W8" s="34">
        <f t="shared" si="1"/>
        <v>0.5</v>
      </c>
    </row>
    <row r="9" spans="1:23" ht="41.25" customHeight="1" x14ac:dyDescent="0.25">
      <c r="A9" s="14">
        <v>3</v>
      </c>
      <c r="B9" s="39"/>
      <c r="C9" s="15" t="s">
        <v>21</v>
      </c>
      <c r="D9" s="16">
        <v>1</v>
      </c>
      <c r="E9" s="17">
        <f t="shared" si="0"/>
        <v>8.3333333333333339</v>
      </c>
      <c r="F9" s="18">
        <f t="shared" si="2"/>
        <v>0.20833333333333337</v>
      </c>
      <c r="G9" s="19"/>
      <c r="H9" s="20"/>
      <c r="I9" s="20"/>
      <c r="J9" s="21"/>
      <c r="K9" s="22"/>
      <c r="L9" s="22"/>
      <c r="M9" s="23">
        <v>1</v>
      </c>
      <c r="N9" s="23"/>
      <c r="O9" s="23"/>
      <c r="P9" s="21"/>
      <c r="Q9" s="22"/>
      <c r="R9" s="22"/>
      <c r="S9" s="24"/>
      <c r="T9" s="20"/>
      <c r="U9" s="20"/>
      <c r="V9" s="33">
        <f t="shared" si="3"/>
        <v>1</v>
      </c>
      <c r="W9" s="34">
        <f t="shared" si="1"/>
        <v>1</v>
      </c>
    </row>
    <row r="10" spans="1:23" ht="41.25" customHeight="1" x14ac:dyDescent="0.25">
      <c r="A10" s="14">
        <v>5</v>
      </c>
      <c r="B10" s="40"/>
      <c r="C10" s="15" t="s">
        <v>22</v>
      </c>
      <c r="D10" s="16">
        <v>2</v>
      </c>
      <c r="E10" s="17">
        <f t="shared" si="0"/>
        <v>16.666666666666668</v>
      </c>
      <c r="F10" s="18">
        <f t="shared" si="2"/>
        <v>0.41666666666666674</v>
      </c>
      <c r="G10" s="19"/>
      <c r="H10" s="20">
        <v>1</v>
      </c>
      <c r="I10" s="20"/>
      <c r="J10" s="21"/>
      <c r="K10" s="22"/>
      <c r="L10" s="22"/>
      <c r="M10" s="23"/>
      <c r="N10" s="23"/>
      <c r="O10" s="23"/>
      <c r="P10" s="21"/>
      <c r="Q10" s="22"/>
      <c r="R10" s="22"/>
      <c r="S10" s="24"/>
      <c r="T10" s="20"/>
      <c r="U10" s="20">
        <v>1</v>
      </c>
      <c r="V10" s="33">
        <f t="shared" si="3"/>
        <v>2</v>
      </c>
      <c r="W10" s="34">
        <f t="shared" si="1"/>
        <v>1.5</v>
      </c>
    </row>
    <row r="11" spans="1:23" ht="41.25" customHeight="1" x14ac:dyDescent="0.25">
      <c r="A11" s="14">
        <v>6</v>
      </c>
      <c r="B11" s="38" t="s">
        <v>23</v>
      </c>
      <c r="C11" s="15" t="s">
        <v>24</v>
      </c>
      <c r="D11" s="16">
        <v>2</v>
      </c>
      <c r="E11" s="17">
        <f t="shared" si="0"/>
        <v>16.666666666666668</v>
      </c>
      <c r="F11" s="18">
        <f t="shared" si="2"/>
        <v>0.41666666666666674</v>
      </c>
      <c r="G11" s="19">
        <v>2</v>
      </c>
      <c r="H11" s="20"/>
      <c r="I11" s="20"/>
      <c r="J11" s="21"/>
      <c r="K11" s="22"/>
      <c r="L11" s="22"/>
      <c r="M11" s="23"/>
      <c r="N11" s="23"/>
      <c r="O11" s="23"/>
      <c r="P11" s="21"/>
      <c r="Q11" s="22"/>
      <c r="R11" s="22"/>
      <c r="S11" s="24"/>
      <c r="T11" s="20"/>
      <c r="U11" s="20"/>
      <c r="V11" s="33">
        <f t="shared" si="3"/>
        <v>2</v>
      </c>
      <c r="W11" s="34">
        <f t="shared" si="1"/>
        <v>1</v>
      </c>
    </row>
    <row r="12" spans="1:23" ht="41.25" customHeight="1" x14ac:dyDescent="0.25">
      <c r="A12" s="14">
        <v>7</v>
      </c>
      <c r="B12" s="39"/>
      <c r="C12" s="15" t="s">
        <v>25</v>
      </c>
      <c r="D12" s="16">
        <v>1</v>
      </c>
      <c r="E12" s="17">
        <f t="shared" si="0"/>
        <v>8.3333333333333339</v>
      </c>
      <c r="F12" s="18">
        <f t="shared" si="2"/>
        <v>0.20833333333333337</v>
      </c>
      <c r="G12" s="19"/>
      <c r="H12" s="20"/>
      <c r="I12" s="20">
        <v>1</v>
      </c>
      <c r="J12" s="21"/>
      <c r="K12" s="22"/>
      <c r="L12" s="22"/>
      <c r="M12" s="23"/>
      <c r="N12" s="23"/>
      <c r="O12" s="23"/>
      <c r="P12" s="21"/>
      <c r="Q12" s="22"/>
      <c r="R12" s="22"/>
      <c r="S12" s="24"/>
      <c r="T12" s="20"/>
      <c r="U12" s="20"/>
      <c r="V12" s="33">
        <f t="shared" si="3"/>
        <v>1</v>
      </c>
      <c r="W12" s="34">
        <f t="shared" si="1"/>
        <v>0.5</v>
      </c>
    </row>
    <row r="13" spans="1:23" ht="41.25" customHeight="1" x14ac:dyDescent="0.25">
      <c r="A13" s="14">
        <v>8</v>
      </c>
      <c r="B13" s="39"/>
      <c r="C13" s="15" t="s">
        <v>26</v>
      </c>
      <c r="D13" s="16">
        <v>1</v>
      </c>
      <c r="E13" s="17">
        <f t="shared" si="0"/>
        <v>8.3333333333333339</v>
      </c>
      <c r="F13" s="18">
        <f t="shared" si="2"/>
        <v>0.20833333333333337</v>
      </c>
      <c r="G13" s="19">
        <v>1</v>
      </c>
      <c r="H13" s="20"/>
      <c r="I13" s="20"/>
      <c r="J13" s="21"/>
      <c r="K13" s="22"/>
      <c r="L13" s="22"/>
      <c r="M13" s="23"/>
      <c r="N13" s="23"/>
      <c r="O13" s="23"/>
      <c r="P13" s="21"/>
      <c r="Q13" s="22"/>
      <c r="R13" s="22"/>
      <c r="S13" s="24"/>
      <c r="T13" s="20"/>
      <c r="U13" s="20"/>
      <c r="V13" s="33">
        <f t="shared" si="3"/>
        <v>1</v>
      </c>
      <c r="W13" s="34">
        <f t="shared" si="1"/>
        <v>0.5</v>
      </c>
    </row>
    <row r="14" spans="1:23" ht="41.25" customHeight="1" x14ac:dyDescent="0.25">
      <c r="A14" s="14">
        <v>9</v>
      </c>
      <c r="B14" s="39"/>
      <c r="C14" s="15" t="s">
        <v>27</v>
      </c>
      <c r="D14" s="16">
        <v>3</v>
      </c>
      <c r="E14" s="17">
        <f t="shared" si="0"/>
        <v>25</v>
      </c>
      <c r="F14" s="18">
        <f t="shared" si="2"/>
        <v>0.625</v>
      </c>
      <c r="G14" s="19"/>
      <c r="H14" s="20"/>
      <c r="I14" s="20"/>
      <c r="J14" s="21"/>
      <c r="K14" s="22"/>
      <c r="L14" s="22"/>
      <c r="M14" s="23"/>
      <c r="N14" s="23"/>
      <c r="O14" s="23"/>
      <c r="P14" s="21"/>
      <c r="Q14" s="22"/>
      <c r="R14" s="22"/>
      <c r="S14" s="24"/>
      <c r="T14" s="20">
        <v>1</v>
      </c>
      <c r="U14" s="20"/>
      <c r="V14" s="33">
        <f t="shared" si="3"/>
        <v>1</v>
      </c>
      <c r="W14" s="34">
        <f t="shared" si="1"/>
        <v>1</v>
      </c>
    </row>
    <row r="15" spans="1:23" ht="74.25" customHeight="1" x14ac:dyDescent="0.25">
      <c r="A15" s="14">
        <v>16</v>
      </c>
      <c r="B15" s="25" t="s">
        <v>28</v>
      </c>
      <c r="C15" s="15" t="s">
        <v>29</v>
      </c>
      <c r="D15" s="16">
        <v>2</v>
      </c>
      <c r="E15" s="26">
        <f>D15*100/SUM($D$15:$D$17)</f>
        <v>50</v>
      </c>
      <c r="F15" s="18">
        <f t="shared" ref="F15:F17" si="4">E15*7.5/100</f>
        <v>3.75</v>
      </c>
      <c r="G15" s="19">
        <v>1</v>
      </c>
      <c r="H15" s="20"/>
      <c r="I15" s="20"/>
      <c r="J15" s="21"/>
      <c r="K15" s="22"/>
      <c r="L15" s="22"/>
      <c r="M15" s="23"/>
      <c r="N15" s="23"/>
      <c r="O15" s="23"/>
      <c r="P15" s="21"/>
      <c r="Q15" s="22">
        <v>1</v>
      </c>
      <c r="R15" s="22"/>
      <c r="S15" s="24"/>
      <c r="T15" s="20"/>
      <c r="U15" s="20"/>
      <c r="V15" s="33">
        <f t="shared" si="3"/>
        <v>2</v>
      </c>
      <c r="W15" s="34">
        <f t="shared" si="1"/>
        <v>1.5</v>
      </c>
    </row>
    <row r="16" spans="1:23" ht="75" customHeight="1" x14ac:dyDescent="0.25">
      <c r="A16" s="14">
        <v>16</v>
      </c>
      <c r="B16" s="41" t="s">
        <v>30</v>
      </c>
      <c r="C16" s="15" t="s">
        <v>31</v>
      </c>
      <c r="D16" s="16">
        <v>1</v>
      </c>
      <c r="E16" s="26">
        <f>D16*100/SUM($D$15:$D$17)</f>
        <v>25</v>
      </c>
      <c r="F16" s="18">
        <f t="shared" si="4"/>
        <v>1.875</v>
      </c>
      <c r="G16" s="19">
        <v>1</v>
      </c>
      <c r="H16" s="20">
        <v>1</v>
      </c>
      <c r="I16" s="20"/>
      <c r="J16" s="21"/>
      <c r="K16" s="22"/>
      <c r="L16" s="22"/>
      <c r="M16" s="23"/>
      <c r="N16" s="23"/>
      <c r="O16" s="23"/>
      <c r="P16" s="21"/>
      <c r="Q16" s="22"/>
      <c r="R16" s="22"/>
      <c r="S16" s="24"/>
      <c r="T16" s="20"/>
      <c r="U16" s="20"/>
      <c r="V16" s="33">
        <f t="shared" si="3"/>
        <v>2</v>
      </c>
      <c r="W16" s="34">
        <f t="shared" si="1"/>
        <v>1</v>
      </c>
    </row>
    <row r="17" spans="1:23" x14ac:dyDescent="0.25">
      <c r="A17" s="14">
        <v>16</v>
      </c>
      <c r="B17" s="42"/>
      <c r="C17" s="15" t="s">
        <v>32</v>
      </c>
      <c r="D17" s="16">
        <v>1</v>
      </c>
      <c r="E17" s="26">
        <f>D17*100/SUM($D$15:$D$17)</f>
        <v>25</v>
      </c>
      <c r="F17" s="18">
        <f t="shared" si="4"/>
        <v>1.875</v>
      </c>
      <c r="G17" s="19">
        <v>1</v>
      </c>
      <c r="H17" s="20"/>
      <c r="I17" s="20"/>
      <c r="J17" s="21"/>
      <c r="K17" s="22"/>
      <c r="L17" s="22"/>
      <c r="M17" s="23"/>
      <c r="N17" s="23"/>
      <c r="O17" s="23"/>
      <c r="P17" s="21"/>
      <c r="Q17" s="22"/>
      <c r="R17" s="22"/>
      <c r="S17" s="24"/>
      <c r="T17" s="20"/>
      <c r="U17" s="20"/>
      <c r="V17" s="33">
        <f t="shared" si="3"/>
        <v>1</v>
      </c>
      <c r="W17" s="34">
        <f t="shared" si="1"/>
        <v>0.5</v>
      </c>
    </row>
    <row r="18" spans="1:23" ht="18.75" customHeight="1" x14ac:dyDescent="0.25">
      <c r="A18" s="45" t="s">
        <v>33</v>
      </c>
      <c r="B18" s="50"/>
      <c r="C18" s="51"/>
      <c r="D18" s="28">
        <f>SUM(D7:D17)</f>
        <v>16</v>
      </c>
      <c r="E18" s="29">
        <f>SUM(E7:E17)/2</f>
        <v>100</v>
      </c>
      <c r="F18" s="30">
        <f t="shared" ref="F18:W18" si="5">SUM(F7:F17)</f>
        <v>10</v>
      </c>
      <c r="G18" s="31">
        <f t="shared" si="5"/>
        <v>9</v>
      </c>
      <c r="H18" s="31">
        <f t="shared" si="5"/>
        <v>2</v>
      </c>
      <c r="I18" s="31">
        <f t="shared" si="5"/>
        <v>1</v>
      </c>
      <c r="J18" s="31">
        <f t="shared" si="5"/>
        <v>0</v>
      </c>
      <c r="K18" s="31">
        <f t="shared" si="5"/>
        <v>0</v>
      </c>
      <c r="L18" s="31">
        <f t="shared" si="5"/>
        <v>0</v>
      </c>
      <c r="M18" s="31">
        <f t="shared" si="5"/>
        <v>1</v>
      </c>
      <c r="N18" s="31">
        <f t="shared" si="5"/>
        <v>0</v>
      </c>
      <c r="O18" s="31">
        <f t="shared" si="5"/>
        <v>0</v>
      </c>
      <c r="P18" s="31">
        <f t="shared" si="5"/>
        <v>0</v>
      </c>
      <c r="Q18" s="31">
        <f t="shared" si="5"/>
        <v>1</v>
      </c>
      <c r="R18" s="31">
        <f t="shared" si="5"/>
        <v>0</v>
      </c>
      <c r="S18" s="31">
        <f t="shared" si="5"/>
        <v>0</v>
      </c>
      <c r="T18" s="31">
        <f t="shared" si="5"/>
        <v>1</v>
      </c>
      <c r="U18" s="31">
        <f t="shared" si="5"/>
        <v>1</v>
      </c>
      <c r="V18" s="27">
        <f t="shared" si="5"/>
        <v>16</v>
      </c>
      <c r="W18" s="52">
        <f t="shared" si="5"/>
        <v>10</v>
      </c>
    </row>
    <row r="19" spans="1:23" ht="18.75" customHeight="1" x14ac:dyDescent="0.25">
      <c r="A19" s="45" t="s">
        <v>34</v>
      </c>
      <c r="B19" s="53"/>
      <c r="C19" s="53"/>
      <c r="D19" s="53"/>
      <c r="E19" s="53"/>
      <c r="F19" s="51"/>
      <c r="G19" s="31">
        <f>G18*$D$22</f>
        <v>4.5</v>
      </c>
      <c r="H19" s="31">
        <f t="shared" ref="H19:I19" si="6">H18*$D$22</f>
        <v>1</v>
      </c>
      <c r="I19" s="31">
        <f t="shared" si="6"/>
        <v>0.5</v>
      </c>
      <c r="J19" s="31">
        <f>J18*$D$23</f>
        <v>0</v>
      </c>
      <c r="K19" s="31">
        <f t="shared" ref="K19:L19" si="7">K18*$D$23</f>
        <v>0</v>
      </c>
      <c r="L19" s="31">
        <f t="shared" si="7"/>
        <v>0</v>
      </c>
      <c r="M19" s="31">
        <f>M18*$D$24</f>
        <v>1</v>
      </c>
      <c r="N19" s="31">
        <f t="shared" ref="N19:O19" si="8">N18*$D$24</f>
        <v>0</v>
      </c>
      <c r="O19" s="31">
        <f t="shared" si="8"/>
        <v>0</v>
      </c>
      <c r="P19" s="31">
        <f>P18*$D$25</f>
        <v>0</v>
      </c>
      <c r="Q19" s="31">
        <f t="shared" ref="Q19:R19" si="9">Q18*$D$25</f>
        <v>1</v>
      </c>
      <c r="R19" s="31">
        <f t="shared" si="9"/>
        <v>0</v>
      </c>
      <c r="S19" s="31">
        <f>S18*$D$26</f>
        <v>0</v>
      </c>
      <c r="T19" s="31">
        <f t="shared" ref="T19:U19" si="10">T18*$D$26</f>
        <v>1</v>
      </c>
      <c r="U19" s="31">
        <f t="shared" si="10"/>
        <v>1</v>
      </c>
      <c r="V19" s="27">
        <f>SUM(G19:U19)</f>
        <v>10</v>
      </c>
      <c r="W19" s="44"/>
    </row>
    <row r="20" spans="1:23" ht="18.75" customHeight="1" x14ac:dyDescent="0.25">
      <c r="A20" s="45" t="s">
        <v>5</v>
      </c>
      <c r="B20" s="53"/>
      <c r="C20" s="53"/>
      <c r="D20" s="53"/>
      <c r="E20" s="53"/>
      <c r="F20" s="51"/>
      <c r="G20" s="54">
        <f>(G18+H18+I18)*$D$22*10</f>
        <v>60</v>
      </c>
      <c r="H20" s="46"/>
      <c r="I20" s="47"/>
      <c r="J20" s="45">
        <f>(J18+K18+L18)*$D$23*10</f>
        <v>0</v>
      </c>
      <c r="K20" s="46"/>
      <c r="L20" s="47"/>
      <c r="M20" s="55">
        <f>(M18+N18+O18)*$D$24*10</f>
        <v>10</v>
      </c>
      <c r="N20" s="56"/>
      <c r="O20" s="57"/>
      <c r="P20" s="45">
        <f>(P18+Q18+R18)*$D$25*10</f>
        <v>10</v>
      </c>
      <c r="Q20" s="46"/>
      <c r="R20" s="47"/>
      <c r="S20" s="45">
        <f>(S18+T18+U18)*$D$26*10</f>
        <v>20</v>
      </c>
      <c r="T20" s="46"/>
      <c r="U20" s="47"/>
      <c r="V20" s="27">
        <f>SUM(G20+J20+P20+S20)</f>
        <v>90</v>
      </c>
      <c r="W20" s="44"/>
    </row>
    <row r="21" spans="1:23" ht="15.75" customHeight="1" x14ac:dyDescent="0.25"/>
    <row r="22" spans="1:23" ht="15.75" customHeight="1" x14ac:dyDescent="0.25">
      <c r="C22" s="1" t="s">
        <v>35</v>
      </c>
      <c r="D22" s="1">
        <v>0.5</v>
      </c>
      <c r="J22" s="48" t="s">
        <v>40</v>
      </c>
      <c r="K22" s="48"/>
      <c r="L22" s="48"/>
      <c r="M22" s="6" t="s">
        <v>15</v>
      </c>
      <c r="N22" s="6" t="s">
        <v>16</v>
      </c>
      <c r="O22" s="6" t="s">
        <v>17</v>
      </c>
    </row>
    <row r="23" spans="1:23" ht="15.75" customHeight="1" x14ac:dyDescent="0.25">
      <c r="C23" s="1" t="s">
        <v>36</v>
      </c>
      <c r="D23" s="1">
        <v>0.5</v>
      </c>
      <c r="J23" s="49" t="s">
        <v>41</v>
      </c>
      <c r="K23" s="44"/>
      <c r="L23" s="44"/>
      <c r="M23" s="6">
        <f t="shared" ref="M23:O24" si="11">G18+J18+M18+P18+S18</f>
        <v>10</v>
      </c>
      <c r="N23" s="6">
        <f t="shared" si="11"/>
        <v>4</v>
      </c>
      <c r="O23" s="6">
        <f t="shared" si="11"/>
        <v>2</v>
      </c>
    </row>
    <row r="24" spans="1:23" ht="15.75" customHeight="1" x14ac:dyDescent="0.25">
      <c r="C24" s="1" t="s">
        <v>37</v>
      </c>
      <c r="D24" s="1">
        <v>1</v>
      </c>
      <c r="J24" s="43" t="s">
        <v>42</v>
      </c>
      <c r="K24" s="44"/>
      <c r="L24" s="44"/>
      <c r="M24" s="32">
        <f t="shared" si="11"/>
        <v>5.5</v>
      </c>
      <c r="N24" s="32">
        <f t="shared" si="11"/>
        <v>3</v>
      </c>
      <c r="O24" s="32">
        <f t="shared" si="11"/>
        <v>1.5</v>
      </c>
    </row>
    <row r="25" spans="1:23" ht="15.75" customHeight="1" x14ac:dyDescent="0.25">
      <c r="C25" s="1" t="s">
        <v>38</v>
      </c>
      <c r="D25" s="1">
        <v>1</v>
      </c>
    </row>
    <row r="26" spans="1:23" ht="15.75" customHeight="1" x14ac:dyDescent="0.25">
      <c r="C26" s="1" t="s">
        <v>39</v>
      </c>
      <c r="D26" s="1">
        <v>1</v>
      </c>
    </row>
    <row r="27" spans="1:23" ht="15.75" customHeight="1" x14ac:dyDescent="0.25"/>
    <row r="28" spans="1:23" ht="39" customHeight="1" x14ac:dyDescent="0.25"/>
    <row r="29" spans="1:23" ht="21.75" customHeight="1" x14ac:dyDescent="0.25"/>
    <row r="30" spans="1:23" ht="21.75" customHeight="1" x14ac:dyDescent="0.25"/>
    <row r="31" spans="1:23" ht="15.75" customHeight="1" x14ac:dyDescent="0.25"/>
    <row r="32" spans="1:2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31">
    <mergeCell ref="C2:V2"/>
    <mergeCell ref="B3:E3"/>
    <mergeCell ref="A4:A6"/>
    <mergeCell ref="B4:B6"/>
    <mergeCell ref="C4:C6"/>
    <mergeCell ref="D4:D6"/>
    <mergeCell ref="E4:E6"/>
    <mergeCell ref="F4:F6"/>
    <mergeCell ref="G4:R4"/>
    <mergeCell ref="S4:U5"/>
    <mergeCell ref="V4:V6"/>
    <mergeCell ref="W4:W6"/>
    <mergeCell ref="G5:I5"/>
    <mergeCell ref="J5:L5"/>
    <mergeCell ref="M5:O5"/>
    <mergeCell ref="P5:R5"/>
    <mergeCell ref="W18:W20"/>
    <mergeCell ref="A19:F19"/>
    <mergeCell ref="A20:F20"/>
    <mergeCell ref="G20:I20"/>
    <mergeCell ref="M20:O20"/>
    <mergeCell ref="P20:R20"/>
    <mergeCell ref="S20:U20"/>
    <mergeCell ref="B7:B10"/>
    <mergeCell ref="B11:B14"/>
    <mergeCell ref="B16:B17"/>
    <mergeCell ref="J24:L24"/>
    <mergeCell ref="J20:L20"/>
    <mergeCell ref="J22:L22"/>
    <mergeCell ref="J23:L23"/>
    <mergeCell ref="A18:C18"/>
  </mergeCells>
  <pageMargins left="0.15748031496062992" right="7.874015748031496E-2" top="0.19685039370078741" bottom="0.35433070866141736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000"/>
  <sheetViews>
    <sheetView tabSelected="1" zoomScaleNormal="100" workbookViewId="0">
      <selection activeCell="V21" sqref="V21"/>
    </sheetView>
  </sheetViews>
  <sheetFormatPr defaultColWidth="14.28515625" defaultRowHeight="15.75" x14ac:dyDescent="0.25"/>
  <cols>
    <col min="1" max="1" width="5.7109375" style="35" customWidth="1"/>
    <col min="2" max="2" width="18.140625" style="35" customWidth="1"/>
    <col min="3" max="3" width="30" style="35" customWidth="1"/>
    <col min="4" max="4" width="18.140625" style="35" customWidth="1"/>
    <col min="5" max="19" width="5.7109375" style="35" customWidth="1"/>
    <col min="20" max="22" width="9.85546875" style="35" customWidth="1"/>
    <col min="23" max="16384" width="14.28515625" style="35"/>
  </cols>
  <sheetData>
    <row r="2" spans="1:19" ht="26.25" customHeight="1" x14ac:dyDescent="0.25">
      <c r="C2" s="61" t="s">
        <v>44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3" spans="1:19" ht="16.5" customHeight="1" x14ac:dyDescent="0.25">
      <c r="B3" s="63"/>
      <c r="C3" s="63"/>
      <c r="D3" s="63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19" ht="15.6" customHeight="1" x14ac:dyDescent="0.25">
      <c r="A4" s="64" t="s">
        <v>1</v>
      </c>
      <c r="B4" s="67" t="s">
        <v>2</v>
      </c>
      <c r="C4" s="67" t="s">
        <v>3</v>
      </c>
      <c r="D4" s="67" t="s">
        <v>45</v>
      </c>
      <c r="E4" s="48" t="s">
        <v>7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 t="s">
        <v>8</v>
      </c>
      <c r="R4" s="48"/>
      <c r="S4" s="48"/>
    </row>
    <row r="5" spans="1:19" ht="19.5" customHeight="1" x14ac:dyDescent="0.25">
      <c r="A5" s="65"/>
      <c r="B5" s="65"/>
      <c r="C5" s="65"/>
      <c r="D5" s="65"/>
      <c r="E5" s="58" t="s">
        <v>11</v>
      </c>
      <c r="F5" s="44"/>
      <c r="G5" s="44"/>
      <c r="H5" s="59" t="s">
        <v>12</v>
      </c>
      <c r="I5" s="60"/>
      <c r="J5" s="60"/>
      <c r="K5" s="48" t="s">
        <v>13</v>
      </c>
      <c r="L5" s="48"/>
      <c r="M5" s="48"/>
      <c r="N5" s="59" t="s">
        <v>14</v>
      </c>
      <c r="O5" s="60"/>
      <c r="P5" s="60"/>
      <c r="Q5" s="48"/>
      <c r="R5" s="48"/>
      <c r="S5" s="48"/>
    </row>
    <row r="6" spans="1:19" ht="21" customHeight="1" x14ac:dyDescent="0.25">
      <c r="A6" s="66"/>
      <c r="B6" s="65"/>
      <c r="C6" s="66"/>
      <c r="D6" s="65"/>
      <c r="E6" s="7" t="s">
        <v>15</v>
      </c>
      <c r="F6" s="8" t="s">
        <v>16</v>
      </c>
      <c r="G6" s="8" t="s">
        <v>17</v>
      </c>
      <c r="H6" s="9" t="s">
        <v>15</v>
      </c>
      <c r="I6" s="10" t="s">
        <v>16</v>
      </c>
      <c r="J6" s="10" t="s">
        <v>17</v>
      </c>
      <c r="K6" s="11" t="s">
        <v>15</v>
      </c>
      <c r="L6" s="8" t="s">
        <v>16</v>
      </c>
      <c r="M6" s="8" t="s">
        <v>17</v>
      </c>
      <c r="N6" s="12" t="s">
        <v>15</v>
      </c>
      <c r="O6" s="13" t="s">
        <v>16</v>
      </c>
      <c r="P6" s="13" t="s">
        <v>17</v>
      </c>
      <c r="Q6" s="11" t="s">
        <v>15</v>
      </c>
      <c r="R6" s="8" t="s">
        <v>16</v>
      </c>
      <c r="S6" s="8" t="s">
        <v>17</v>
      </c>
    </row>
    <row r="7" spans="1:19" ht="41.25" customHeight="1" x14ac:dyDescent="0.25">
      <c r="A7" s="14">
        <v>1</v>
      </c>
      <c r="B7" s="38" t="s">
        <v>18</v>
      </c>
      <c r="C7" s="15" t="s">
        <v>19</v>
      </c>
      <c r="D7" s="16"/>
      <c r="E7" s="19">
        <v>2</v>
      </c>
      <c r="F7" s="20"/>
      <c r="G7" s="20"/>
      <c r="H7" s="21"/>
      <c r="I7" s="22"/>
      <c r="J7" s="22"/>
      <c r="K7" s="23"/>
      <c r="L7" s="23"/>
      <c r="M7" s="23"/>
      <c r="N7" s="21"/>
      <c r="O7" s="22"/>
      <c r="P7" s="22"/>
      <c r="Q7" s="24"/>
      <c r="R7" s="20"/>
      <c r="S7" s="20"/>
    </row>
    <row r="8" spans="1:19" ht="41.25" customHeight="1" x14ac:dyDescent="0.25">
      <c r="A8" s="14">
        <v>2</v>
      </c>
      <c r="B8" s="39"/>
      <c r="C8" s="15" t="s">
        <v>20</v>
      </c>
      <c r="D8" s="16"/>
      <c r="E8" s="19">
        <v>1</v>
      </c>
      <c r="F8" s="20"/>
      <c r="G8" s="20"/>
      <c r="H8" s="21"/>
      <c r="I8" s="22"/>
      <c r="J8" s="22"/>
      <c r="K8" s="23"/>
      <c r="L8" s="23"/>
      <c r="M8" s="23"/>
      <c r="N8" s="21"/>
      <c r="O8" s="22"/>
      <c r="P8" s="22"/>
      <c r="Q8" s="24"/>
      <c r="R8" s="20"/>
      <c r="S8" s="20"/>
    </row>
    <row r="9" spans="1:19" ht="41.25" customHeight="1" x14ac:dyDescent="0.25">
      <c r="A9" s="14">
        <v>3</v>
      </c>
      <c r="B9" s="39"/>
      <c r="C9" s="15" t="s">
        <v>21</v>
      </c>
      <c r="D9" s="16"/>
      <c r="E9" s="19"/>
      <c r="F9" s="20"/>
      <c r="G9" s="20"/>
      <c r="H9" s="21"/>
      <c r="I9" s="22"/>
      <c r="J9" s="22"/>
      <c r="K9" s="23">
        <v>1</v>
      </c>
      <c r="L9" s="23"/>
      <c r="M9" s="23"/>
      <c r="N9" s="21"/>
      <c r="O9" s="22"/>
      <c r="P9" s="22"/>
      <c r="Q9" s="24"/>
      <c r="R9" s="20"/>
      <c r="S9" s="20"/>
    </row>
    <row r="10" spans="1:19" ht="41.25" customHeight="1" x14ac:dyDescent="0.25">
      <c r="A10" s="14">
        <v>5</v>
      </c>
      <c r="B10" s="40"/>
      <c r="C10" s="15" t="s">
        <v>22</v>
      </c>
      <c r="D10" s="16"/>
      <c r="E10" s="19"/>
      <c r="F10" s="20">
        <v>1</v>
      </c>
      <c r="G10" s="20"/>
      <c r="H10" s="21"/>
      <c r="I10" s="22"/>
      <c r="J10" s="22"/>
      <c r="K10" s="23"/>
      <c r="L10" s="23"/>
      <c r="M10" s="23"/>
      <c r="N10" s="21"/>
      <c r="O10" s="22"/>
      <c r="P10" s="22"/>
      <c r="Q10" s="24"/>
      <c r="R10" s="20"/>
      <c r="S10" s="20">
        <v>1</v>
      </c>
    </row>
    <row r="11" spans="1:19" ht="41.25" customHeight="1" x14ac:dyDescent="0.25">
      <c r="A11" s="14">
        <v>6</v>
      </c>
      <c r="B11" s="38" t="s">
        <v>23</v>
      </c>
      <c r="C11" s="15" t="s">
        <v>24</v>
      </c>
      <c r="D11" s="16"/>
      <c r="E11" s="19">
        <v>2</v>
      </c>
      <c r="F11" s="20"/>
      <c r="G11" s="20"/>
      <c r="H11" s="21"/>
      <c r="I11" s="22"/>
      <c r="J11" s="22"/>
      <c r="K11" s="23"/>
      <c r="L11" s="23"/>
      <c r="M11" s="23"/>
      <c r="N11" s="21"/>
      <c r="O11" s="22"/>
      <c r="P11" s="22"/>
      <c r="Q11" s="24"/>
      <c r="R11" s="20"/>
      <c r="S11" s="20"/>
    </row>
    <row r="12" spans="1:19" ht="41.25" customHeight="1" x14ac:dyDescent="0.25">
      <c r="A12" s="14">
        <v>7</v>
      </c>
      <c r="B12" s="39"/>
      <c r="C12" s="15" t="s">
        <v>25</v>
      </c>
      <c r="D12" s="16"/>
      <c r="E12" s="19"/>
      <c r="F12" s="20"/>
      <c r="G12" s="20">
        <v>1</v>
      </c>
      <c r="H12" s="21"/>
      <c r="I12" s="22"/>
      <c r="J12" s="22"/>
      <c r="K12" s="23"/>
      <c r="L12" s="23"/>
      <c r="M12" s="23"/>
      <c r="N12" s="21"/>
      <c r="O12" s="22"/>
      <c r="P12" s="22"/>
      <c r="Q12" s="24"/>
      <c r="R12" s="20"/>
      <c r="S12" s="20"/>
    </row>
    <row r="13" spans="1:19" ht="41.25" customHeight="1" x14ac:dyDescent="0.25">
      <c r="A13" s="14">
        <v>8</v>
      </c>
      <c r="B13" s="39"/>
      <c r="C13" s="15" t="s">
        <v>26</v>
      </c>
      <c r="D13" s="16"/>
      <c r="E13" s="19">
        <v>1</v>
      </c>
      <c r="F13" s="20"/>
      <c r="G13" s="20"/>
      <c r="H13" s="21"/>
      <c r="I13" s="22"/>
      <c r="J13" s="22"/>
      <c r="K13" s="23"/>
      <c r="L13" s="23"/>
      <c r="M13" s="23"/>
      <c r="N13" s="21"/>
      <c r="O13" s="22"/>
      <c r="P13" s="22"/>
      <c r="Q13" s="24"/>
      <c r="R13" s="20"/>
      <c r="S13" s="20"/>
    </row>
    <row r="14" spans="1:19" ht="41.25" customHeight="1" x14ac:dyDescent="0.25">
      <c r="A14" s="14">
        <v>9</v>
      </c>
      <c r="B14" s="39"/>
      <c r="C14" s="15" t="s">
        <v>27</v>
      </c>
      <c r="D14" s="16"/>
      <c r="E14" s="19"/>
      <c r="F14" s="20"/>
      <c r="G14" s="20"/>
      <c r="H14" s="21"/>
      <c r="I14" s="22"/>
      <c r="J14" s="22"/>
      <c r="K14" s="23"/>
      <c r="L14" s="23"/>
      <c r="M14" s="23"/>
      <c r="N14" s="21"/>
      <c r="O14" s="22"/>
      <c r="P14" s="22"/>
      <c r="Q14" s="24"/>
      <c r="R14" s="20">
        <v>1</v>
      </c>
      <c r="S14" s="20"/>
    </row>
    <row r="15" spans="1:19" ht="74.25" customHeight="1" x14ac:dyDescent="0.25">
      <c r="A15" s="14">
        <v>16</v>
      </c>
      <c r="B15" s="37" t="s">
        <v>28</v>
      </c>
      <c r="C15" s="15" t="s">
        <v>29</v>
      </c>
      <c r="D15" s="16"/>
      <c r="E15" s="19">
        <v>1</v>
      </c>
      <c r="F15" s="20"/>
      <c r="G15" s="20"/>
      <c r="H15" s="21"/>
      <c r="I15" s="22"/>
      <c r="J15" s="22"/>
      <c r="K15" s="23"/>
      <c r="L15" s="23"/>
      <c r="M15" s="23"/>
      <c r="N15" s="21"/>
      <c r="O15" s="22">
        <v>1</v>
      </c>
      <c r="P15" s="22"/>
      <c r="Q15" s="24"/>
      <c r="R15" s="20"/>
      <c r="S15" s="20"/>
    </row>
    <row r="16" spans="1:19" ht="75" customHeight="1" x14ac:dyDescent="0.25">
      <c r="A16" s="14">
        <v>16</v>
      </c>
      <c r="B16" s="41" t="s">
        <v>30</v>
      </c>
      <c r="C16" s="15" t="s">
        <v>31</v>
      </c>
      <c r="D16" s="16"/>
      <c r="E16" s="19">
        <v>1</v>
      </c>
      <c r="F16" s="20">
        <v>1</v>
      </c>
      <c r="G16" s="20"/>
      <c r="H16" s="21"/>
      <c r="I16" s="22"/>
      <c r="J16" s="22"/>
      <c r="K16" s="23"/>
      <c r="L16" s="23"/>
      <c r="M16" s="23"/>
      <c r="N16" s="21"/>
      <c r="O16" s="22"/>
      <c r="P16" s="22"/>
      <c r="Q16" s="24"/>
      <c r="R16" s="20"/>
      <c r="S16" s="20"/>
    </row>
    <row r="17" spans="1:19" x14ac:dyDescent="0.25">
      <c r="A17" s="14">
        <v>16</v>
      </c>
      <c r="B17" s="42"/>
      <c r="C17" s="15" t="s">
        <v>32</v>
      </c>
      <c r="D17" s="16"/>
      <c r="E17" s="19">
        <v>1</v>
      </c>
      <c r="F17" s="20"/>
      <c r="G17" s="20"/>
      <c r="H17" s="21"/>
      <c r="I17" s="22"/>
      <c r="J17" s="22"/>
      <c r="K17" s="23"/>
      <c r="L17" s="23"/>
      <c r="M17" s="23"/>
      <c r="N17" s="21"/>
      <c r="O17" s="22"/>
      <c r="P17" s="22"/>
      <c r="Q17" s="24"/>
      <c r="R17" s="20"/>
      <c r="S17" s="20"/>
    </row>
    <row r="18" spans="1:19" ht="18.75" customHeight="1" x14ac:dyDescent="0.25">
      <c r="A18" s="45" t="s">
        <v>33</v>
      </c>
      <c r="B18" s="50"/>
      <c r="C18" s="51"/>
      <c r="D18" s="28"/>
      <c r="E18" s="31">
        <f t="shared" ref="E18:S18" si="0">SUM(E7:E17)</f>
        <v>9</v>
      </c>
      <c r="F18" s="31">
        <f t="shared" si="0"/>
        <v>2</v>
      </c>
      <c r="G18" s="31">
        <f t="shared" si="0"/>
        <v>1</v>
      </c>
      <c r="H18" s="31">
        <f t="shared" si="0"/>
        <v>0</v>
      </c>
      <c r="I18" s="31">
        <f t="shared" si="0"/>
        <v>0</v>
      </c>
      <c r="J18" s="31">
        <f t="shared" si="0"/>
        <v>0</v>
      </c>
      <c r="K18" s="31">
        <f t="shared" si="0"/>
        <v>1</v>
      </c>
      <c r="L18" s="31">
        <f t="shared" si="0"/>
        <v>0</v>
      </c>
      <c r="M18" s="31">
        <f t="shared" si="0"/>
        <v>0</v>
      </c>
      <c r="N18" s="31">
        <f t="shared" si="0"/>
        <v>0</v>
      </c>
      <c r="O18" s="31">
        <f t="shared" si="0"/>
        <v>1</v>
      </c>
      <c r="P18" s="31">
        <f t="shared" si="0"/>
        <v>0</v>
      </c>
      <c r="Q18" s="31">
        <f t="shared" si="0"/>
        <v>0</v>
      </c>
      <c r="R18" s="31">
        <f t="shared" si="0"/>
        <v>1</v>
      </c>
      <c r="S18" s="31">
        <f t="shared" si="0"/>
        <v>1</v>
      </c>
    </row>
    <row r="19" spans="1:19" ht="18.75" customHeight="1" x14ac:dyDescent="0.25">
      <c r="A19" s="45" t="s">
        <v>46</v>
      </c>
      <c r="B19" s="53"/>
      <c r="C19" s="53"/>
      <c r="D19" s="53"/>
      <c r="E19" s="31">
        <v>4.5</v>
      </c>
      <c r="F19" s="31">
        <v>1</v>
      </c>
      <c r="G19" s="31">
        <v>0.5</v>
      </c>
      <c r="H19" s="31">
        <v>0</v>
      </c>
      <c r="I19" s="31">
        <v>0</v>
      </c>
      <c r="J19" s="31">
        <v>0</v>
      </c>
      <c r="K19" s="31">
        <v>1</v>
      </c>
      <c r="L19" s="31">
        <v>0</v>
      </c>
      <c r="M19" s="31">
        <v>0</v>
      </c>
      <c r="N19" s="31">
        <v>0</v>
      </c>
      <c r="O19" s="31">
        <v>1</v>
      </c>
      <c r="P19" s="31">
        <v>0</v>
      </c>
      <c r="Q19" s="31">
        <v>0</v>
      </c>
      <c r="R19" s="31">
        <v>1</v>
      </c>
      <c r="S19" s="31">
        <v>1</v>
      </c>
    </row>
    <row r="20" spans="1:19" ht="18.75" customHeight="1" x14ac:dyDescent="0.25">
      <c r="A20" s="45" t="s">
        <v>47</v>
      </c>
      <c r="B20" s="53"/>
      <c r="C20" s="53"/>
      <c r="D20" s="53"/>
      <c r="E20" s="54">
        <v>55</v>
      </c>
      <c r="F20" s="46"/>
      <c r="G20" s="47"/>
      <c r="H20" s="45"/>
      <c r="I20" s="46"/>
      <c r="J20" s="47"/>
      <c r="K20" s="55"/>
      <c r="L20" s="56"/>
      <c r="M20" s="57"/>
      <c r="N20" s="45">
        <v>30</v>
      </c>
      <c r="O20" s="46"/>
      <c r="P20" s="47"/>
      <c r="Q20" s="45">
        <v>15</v>
      </c>
      <c r="R20" s="46"/>
      <c r="S20" s="47"/>
    </row>
    <row r="21" spans="1:19" ht="15.75" customHeight="1" x14ac:dyDescent="0.25"/>
    <row r="22" spans="1:19" ht="15.75" customHeight="1" x14ac:dyDescent="0.25"/>
    <row r="23" spans="1:19" ht="39" customHeight="1" x14ac:dyDescent="0.25"/>
    <row r="24" spans="1:19" ht="21.75" customHeight="1" x14ac:dyDescent="0.25"/>
    <row r="25" spans="1:19" ht="21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3">
    <mergeCell ref="N20:P20"/>
    <mergeCell ref="Q20:S20"/>
    <mergeCell ref="B7:B10"/>
    <mergeCell ref="B11:B14"/>
    <mergeCell ref="B16:B17"/>
    <mergeCell ref="A18:C18"/>
    <mergeCell ref="A19:D19"/>
    <mergeCell ref="A20:D20"/>
    <mergeCell ref="E20:G20"/>
    <mergeCell ref="H20:J20"/>
    <mergeCell ref="K20:M20"/>
    <mergeCell ref="E5:G5"/>
    <mergeCell ref="H5:J5"/>
    <mergeCell ref="K5:M5"/>
    <mergeCell ref="N5:P5"/>
    <mergeCell ref="C2:S2"/>
    <mergeCell ref="B3:D3"/>
    <mergeCell ref="A4:A6"/>
    <mergeCell ref="B4:B6"/>
    <mergeCell ref="C4:C6"/>
    <mergeCell ref="D4:D6"/>
    <mergeCell ref="E4:P4"/>
    <mergeCell ref="Q4:S5"/>
  </mergeCells>
  <pageMargins left="0.15748031496062992" right="7.874015748031496E-2" top="0.19685039370078741" bottom="0.35433070866141736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 trận</vt:lpstr>
      <vt:lpstr>đặc tả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2025-12-20T19:31:32Z</cp:lastPrinted>
  <dcterms:created xsi:type="dcterms:W3CDTF">2025-12-02T01:08:03Z</dcterms:created>
  <dcterms:modified xsi:type="dcterms:W3CDTF">2025-12-22T08:51:18Z</dcterms:modified>
</cp:coreProperties>
</file>